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0417"/>
  <workbookPr hidePivotFieldList="1" defaultThemeVersion="166925"/>
  <mc:AlternateContent xmlns:mc="http://schemas.openxmlformats.org/markup-compatibility/2006">
    <mc:Choice Requires="x15">
      <x15ac:absPath xmlns:x15ac="http://schemas.microsoft.com/office/spreadsheetml/2010/11/ac" url="C:\Users\z.siddiqui\Desktop\"/>
    </mc:Choice>
  </mc:AlternateContent>
  <xr:revisionPtr revIDLastSave="0" documentId="8_{28615A0A-78E4-40D5-9D36-2D8BE5DCCB1A}" xr6:coauthVersionLast="36" xr6:coauthVersionMax="36" xr10:uidLastSave="{00000000-0000-0000-0000-000000000000}"/>
  <bookViews>
    <workbookView xWindow="0" yWindow="0" windowWidth="20490" windowHeight="7545"/>
  </bookViews>
  <sheets>
    <sheet name="marketing_data" sheetId="1" r:id="rId1"/>
    <sheet name="Campaign Performance" sheetId="2" r:id="rId2"/>
    <sheet name="Keyword analysis" sheetId="4" r:id="rId3"/>
  </sheets>
  <definedNames>
    <definedName name="Slicer_Campaign">#N/A</definedName>
    <definedName name="Slicer_Keyword">#N/A</definedName>
  </definedNames>
  <calcPr calcId="0"/>
  <pivotCaches>
    <pivotCache cacheId="8"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Lst>
</workbook>
</file>

<file path=xl/calcChain.xml><?xml version="1.0" encoding="utf-8"?>
<calcChain xmlns="http://schemas.openxmlformats.org/spreadsheetml/2006/main">
  <c r="P9" i="1" l="1"/>
  <c r="P10" i="1"/>
  <c r="P11" i="1"/>
  <c r="P12" i="1"/>
  <c r="P13" i="1"/>
  <c r="P14" i="1"/>
  <c r="P15" i="1"/>
  <c r="P16" i="1"/>
  <c r="P17" i="1"/>
  <c r="P18" i="1"/>
  <c r="P19" i="1"/>
  <c r="P20" i="1"/>
  <c r="P21" i="1"/>
  <c r="P22" i="1"/>
  <c r="P23" i="1"/>
  <c r="O9" i="1"/>
  <c r="O10" i="1"/>
  <c r="O11" i="1"/>
  <c r="O12" i="1"/>
  <c r="O13" i="1"/>
  <c r="O14" i="1"/>
  <c r="O15" i="1"/>
  <c r="O16" i="1"/>
  <c r="O17" i="1"/>
  <c r="O18" i="1"/>
  <c r="O19" i="1"/>
  <c r="O20" i="1"/>
  <c r="O21" i="1"/>
  <c r="O22" i="1"/>
  <c r="O23" i="1"/>
  <c r="N9" i="1"/>
  <c r="N10" i="1"/>
  <c r="N11" i="1"/>
  <c r="N12" i="1"/>
  <c r="N13" i="1"/>
  <c r="N14" i="1"/>
  <c r="N15" i="1"/>
  <c r="N16" i="1"/>
  <c r="N17" i="1"/>
  <c r="N18" i="1"/>
  <c r="N19" i="1"/>
  <c r="N20" i="1"/>
  <c r="N21" i="1"/>
  <c r="N22" i="1"/>
  <c r="N23" i="1"/>
  <c r="N8" i="1"/>
  <c r="P7" i="1"/>
  <c r="P8" i="1"/>
  <c r="P6" i="1"/>
  <c r="O7" i="1"/>
  <c r="O8" i="1"/>
  <c r="N7" i="1"/>
  <c r="M7" i="1"/>
  <c r="M8" i="1"/>
  <c r="M9" i="1"/>
  <c r="M10" i="1"/>
  <c r="M11" i="1"/>
  <c r="M12" i="1"/>
  <c r="M13" i="1"/>
  <c r="M14" i="1"/>
  <c r="M15" i="1"/>
  <c r="M16" i="1"/>
  <c r="M17" i="1"/>
  <c r="M18" i="1"/>
  <c r="M19" i="1"/>
  <c r="M20" i="1"/>
  <c r="M21" i="1"/>
  <c r="M22" i="1"/>
  <c r="M23" i="1"/>
  <c r="L8" i="1"/>
  <c r="L7" i="1"/>
  <c r="L9" i="1"/>
  <c r="L10" i="1"/>
  <c r="L11" i="1"/>
  <c r="L12" i="1"/>
  <c r="L13" i="1"/>
  <c r="L14" i="1"/>
  <c r="L15" i="1"/>
  <c r="L16" i="1"/>
  <c r="L17" i="1"/>
  <c r="L18" i="1"/>
  <c r="L19" i="1"/>
  <c r="L20" i="1"/>
  <c r="L21" i="1"/>
  <c r="L22" i="1"/>
  <c r="L23" i="1"/>
  <c r="O6" i="1"/>
  <c r="N6" i="1"/>
  <c r="M6" i="1"/>
  <c r="L6" i="1"/>
</calcChain>
</file>

<file path=xl/sharedStrings.xml><?xml version="1.0" encoding="utf-8"?>
<sst xmlns="http://schemas.openxmlformats.org/spreadsheetml/2006/main" count="128" uniqueCount="40">
  <si>
    <t>Date</t>
  </si>
  <si>
    <t>Campaign</t>
  </si>
  <si>
    <t>Ad_Group</t>
  </si>
  <si>
    <t>Keyword</t>
  </si>
  <si>
    <t>Match_Type</t>
  </si>
  <si>
    <t>Device</t>
  </si>
  <si>
    <t>Impressions</t>
  </si>
  <si>
    <t>Clicks</t>
  </si>
  <si>
    <t>Cost</t>
  </si>
  <si>
    <t>Conversions</t>
  </si>
  <si>
    <t>Revenue</t>
  </si>
  <si>
    <t>Towing Search</t>
  </si>
  <si>
    <t>Emergency Tow</t>
  </si>
  <si>
    <t>tow truck near me</t>
  </si>
  <si>
    <t>Exact</t>
  </si>
  <si>
    <t>Mobile</t>
  </si>
  <si>
    <t>emergency towing</t>
  </si>
  <si>
    <t>Roadside Assistance</t>
  </si>
  <si>
    <t>roadside assistance</t>
  </si>
  <si>
    <t>Phrase</t>
  </si>
  <si>
    <t>Desktop</t>
  </si>
  <si>
    <t>Display Remarketing</t>
  </si>
  <si>
    <t>All Users</t>
  </si>
  <si>
    <t>remarketing ad</t>
  </si>
  <si>
    <t>Broad</t>
  </si>
  <si>
    <t>roadside service</t>
  </si>
  <si>
    <t>emergency towing service</t>
  </si>
  <si>
    <t>Google Ads Performance Analysis – Excel Portfolio Project</t>
  </si>
  <si>
    <t>This dataset represents Google Ads performance data for a towing service (Search &amp; Remarketing campaigns).</t>
  </si>
  <si>
    <r>
      <rPr>
        <b/>
        <sz val="12"/>
        <color theme="1"/>
        <rFont val="Calibri"/>
        <family val="2"/>
        <scheme val="minor"/>
      </rPr>
      <t>Objective</t>
    </r>
    <r>
      <rPr>
        <sz val="12"/>
        <color theme="1"/>
        <rFont val="Calibri"/>
        <family val="2"/>
        <scheme val="minor"/>
      </rPr>
      <t>: Analyze ad performance using Excel to identify profitable and non-profitable campaigns.</t>
    </r>
  </si>
  <si>
    <r>
      <rPr>
        <b/>
        <sz val="12"/>
        <color theme="1"/>
        <rFont val="Calibri"/>
        <family val="2"/>
        <scheme val="minor"/>
      </rPr>
      <t>Tools</t>
    </r>
    <r>
      <rPr>
        <sz val="12"/>
        <color theme="1"/>
        <rFont val="Calibri"/>
        <family val="2"/>
        <scheme val="minor"/>
      </rPr>
      <t xml:space="preserve"> Used: Microsoft Excel | Metrics: CTR, CPC, CPA, ROAS | Techniques: IF logic, Pivot Tables</t>
    </r>
  </si>
  <si>
    <t>CTR</t>
  </si>
  <si>
    <t>CPC</t>
  </si>
  <si>
    <t>CPA</t>
  </si>
  <si>
    <t>ROAS</t>
  </si>
  <si>
    <t xml:space="preserve">Performance </t>
  </si>
  <si>
    <t>Grand Total</t>
  </si>
  <si>
    <t>Sum of Cost</t>
  </si>
  <si>
    <t>Sum of Conversions</t>
  </si>
  <si>
    <t>Sum of ROAS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</si>
</sst>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2"/>
      <color theme="1"/>
      <name val="Calibri"/>
      <family val="2"/>
      <scheme val="minor"/>
    </font>
    <font>
      <b/>
      <sz val="14"/>
      <color theme="1"/>
      <name val="Calibri"/>
      <family val="2"/>
      <scheme val="minor"/>
    </font>
    <font>
      <b/>
      <sz val="12"/>
      <color theme="1"/>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0" fontId="0" fillId="0" borderId="0" xfId="0" applyAlignment="1">
      <alignment horizontal="center"/>
    </xf>
    <xf numFmtId="14" fontId="0" fillId="0" borderId="0" xfId="0" applyNumberFormat="1" applyAlignment="1">
      <alignment horizontal="center"/>
    </xf>
    <xf numFmtId="0" fontId="18" fillId="0" borderId="0" xfId="0" applyFont="1" applyAlignment="1">
      <alignment horizontal="center"/>
    </xf>
    <xf numFmtId="0" fontId="18" fillId="0" borderId="0" xfId="0" applyFont="1" applyAlignment="1"/>
    <xf numFmtId="0" fontId="19" fillId="0" borderId="0" xfId="0" applyFont="1" applyAlignment="1">
      <alignment horizontal="center"/>
    </xf>
    <xf numFmtId="0" fontId="20" fillId="0" borderId="0" xfId="0" applyFont="1" applyAlignment="1">
      <alignment horizontal="center"/>
    </xf>
    <xf numFmtId="0" fontId="0" fillId="0" borderId="0" xfId="0" pivotButton="1" applyAlignment="1">
      <alignment horizontal="center"/>
    </xf>
    <xf numFmtId="0" fontId="0" fillId="0" borderId="0" xfId="0" applyNumberFormat="1" applyAlignment="1">
      <alignment horizontal="center"/>
    </xf>
    <xf numFmtId="2" fontId="0" fillId="0" borderId="0" xfId="0" applyNumberFormat="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22">
    <dxf>
      <numFmt numFmtId="2" formatCode="0.00"/>
    </dxf>
    <dxf>
      <alignment horizontal="center"/>
    </dxf>
    <dxf>
      <alignment horizontal="center"/>
    </dxf>
    <dxf>
      <alignment horizontal="center"/>
    </dxf>
    <dxf>
      <alignment horizontal="center"/>
    </dxf>
    <dxf>
      <alignment horizontal="center"/>
    </dxf>
    <dxf>
      <alignment horizontal="center"/>
    </dxf>
    <dxf>
      <numFmt numFmtId="2" formatCode="0.0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10" Type="http://schemas.openxmlformats.org/officeDocument/2006/relationships/calcChain" Target="calcChain.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editAs="oneCell">
    <xdr:from>
      <xdr:col>5</xdr:col>
      <xdr:colOff>228600</xdr:colOff>
      <xdr:row>2</xdr:row>
      <xdr:rowOff>28575</xdr:rowOff>
    </xdr:from>
    <xdr:to>
      <xdr:col>12</xdr:col>
      <xdr:colOff>190500</xdr:colOff>
      <xdr:row>15</xdr:row>
      <xdr:rowOff>76200</xdr:rowOff>
    </xdr:to>
    <mc:AlternateContent xmlns:mc="http://schemas.openxmlformats.org/markup-compatibility/2006">
      <mc:Choice xmlns:a14="http://schemas.microsoft.com/office/drawing/2010/main" Requires="a14">
        <xdr:graphicFrame macro="">
          <xdr:nvGraphicFramePr>
            <xdr:cNvPr id="2" name="Campaign">
              <a:extLst>
                <a:ext uri="{FF2B5EF4-FFF2-40B4-BE49-F238E27FC236}">
                  <a16:creationId xmlns:a16="http://schemas.microsoft.com/office/drawing/2014/main" id="{E6D899F6-5C81-4A96-9A6F-FE28B30474EE}"/>
                </a:ext>
              </a:extLst>
            </xdr:cNvPr>
            <xdr:cNvGraphicFramePr/>
          </xdr:nvGraphicFramePr>
          <xdr:xfrm>
            <a:off x="0" y="0"/>
            <a:ext cx="0" cy="0"/>
          </xdr:xfrm>
          <a:graphic>
            <a:graphicData uri="http://schemas.microsoft.com/office/drawing/2010/slicer">
              <sle:slicer xmlns:sle="http://schemas.microsoft.com/office/drawing/2010/slicer" name="Campaign"/>
            </a:graphicData>
          </a:graphic>
        </xdr:graphicFrame>
      </mc:Choice>
      <mc:Fallback>
        <xdr:sp macro="" textlink="">
          <xdr:nvSpPr>
            <xdr:cNvPr id="0" name=""/>
            <xdr:cNvSpPr>
              <a:spLocks noTextEdit="1"/>
            </xdr:cNvSpPr>
          </xdr:nvSpPr>
          <xdr:spPr>
            <a:xfrm>
              <a:off x="4629150" y="40957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5</xdr:col>
      <xdr:colOff>19050</xdr:colOff>
      <xdr:row>2</xdr:row>
      <xdr:rowOff>66675</xdr:rowOff>
    </xdr:from>
    <xdr:to>
      <xdr:col>8</xdr:col>
      <xdr:colOff>19050</xdr:colOff>
      <xdr:row>15</xdr:row>
      <xdr:rowOff>114300</xdr:rowOff>
    </xdr:to>
    <mc:AlternateContent xmlns:mc="http://schemas.openxmlformats.org/markup-compatibility/2006">
      <mc:Choice xmlns:a14="http://schemas.microsoft.com/office/drawing/2010/main" Requires="a14">
        <xdr:graphicFrame macro="">
          <xdr:nvGraphicFramePr>
            <xdr:cNvPr id="3" name="Keyword">
              <a:extLst>
                <a:ext uri="{FF2B5EF4-FFF2-40B4-BE49-F238E27FC236}">
                  <a16:creationId xmlns:a16="http://schemas.microsoft.com/office/drawing/2014/main" id="{B420311A-CAF5-4D76-B47A-AF6BFEF6A397}"/>
                </a:ext>
              </a:extLst>
            </xdr:cNvPr>
            <xdr:cNvGraphicFramePr/>
          </xdr:nvGraphicFramePr>
          <xdr:xfrm>
            <a:off x="0" y="0"/>
            <a:ext cx="0" cy="0"/>
          </xdr:xfrm>
          <a:graphic>
            <a:graphicData uri="http://schemas.microsoft.com/office/drawing/2010/slicer">
              <sle:slicer xmlns:sle="http://schemas.microsoft.com/office/drawing/2010/slicer" name="Keyword"/>
            </a:graphicData>
          </a:graphic>
        </xdr:graphicFrame>
      </mc:Choice>
      <mc:Fallback>
        <xdr:sp macro="" textlink="">
          <xdr:nvSpPr>
            <xdr:cNvPr id="0" name=""/>
            <xdr:cNvSpPr>
              <a:spLocks noTextEdit="1"/>
            </xdr:cNvSpPr>
          </xdr:nvSpPr>
          <xdr:spPr>
            <a:xfrm>
              <a:off x="5105400" y="44767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Zara Siddiqui" refreshedDate="46015.025244097225" createdVersion="6" refreshedVersion="6" minRefreshableVersion="3" recordCount="18">
  <cacheSource type="worksheet">
    <worksheetSource ref="A5:P23" sheet="marketing_data"/>
  </cacheSource>
  <cacheFields count="16">
    <cacheField name="Date" numFmtId="14">
      <sharedItems containsSemiMixedTypes="0" containsNonDate="0" containsDate="1" containsString="0" minDate="2025-01-01T00:00:00" maxDate="2025-01-06T00:00:00"/>
    </cacheField>
    <cacheField name="Campaign" numFmtId="0">
      <sharedItems count="2">
        <s v="Towing Search"/>
        <s v="Display Remarketing"/>
      </sharedItems>
    </cacheField>
    <cacheField name="Ad_Group" numFmtId="0">
      <sharedItems/>
    </cacheField>
    <cacheField name="Keyword" numFmtId="0">
      <sharedItems count="6">
        <s v="tow truck near me"/>
        <s v="emergency towing"/>
        <s v="roadside assistance"/>
        <s v="remarketing ad"/>
        <s v="roadside service"/>
        <s v="emergency towing service"/>
      </sharedItems>
    </cacheField>
    <cacheField name="Match_Type" numFmtId="0">
      <sharedItems/>
    </cacheField>
    <cacheField name="Device" numFmtId="0">
      <sharedItems count="2">
        <s v="Mobile"/>
        <s v="Desktop"/>
      </sharedItems>
    </cacheField>
    <cacheField name="Impressions" numFmtId="0">
      <sharedItems containsSemiMixedTypes="0" containsString="0" containsNumber="1" containsInteger="1" minValue="1000" maxValue="7000"/>
    </cacheField>
    <cacheField name="Clicks" numFmtId="0">
      <sharedItems containsSemiMixedTypes="0" containsString="0" containsNumber="1" containsInteger="1" minValue="40" maxValue="176"/>
    </cacheField>
    <cacheField name="Cost" numFmtId="0">
      <sharedItems containsSemiMixedTypes="0" containsString="0" containsNumber="1" containsInteger="1" minValue="80" maxValue="528"/>
    </cacheField>
    <cacheField name="Conversions" numFmtId="0">
      <sharedItems containsSemiMixedTypes="0" containsString="0" containsNumber="1" containsInteger="1" minValue="2" maxValue="34" count="17">
        <n v="26"/>
        <n v="22"/>
        <n v="9"/>
        <n v="4"/>
        <n v="14"/>
        <n v="18"/>
        <n v="21"/>
        <n v="3"/>
        <n v="30"/>
        <n v="15"/>
        <n v="10"/>
        <n v="5"/>
        <n v="34"/>
        <n v="12"/>
        <n v="2"/>
        <n v="25"/>
        <n v="20"/>
      </sharedItems>
    </cacheField>
    <cacheField name="Revenue" numFmtId="0">
      <sharedItems containsSemiMixedTypes="0" containsString="0" containsNumber="1" containsInteger="1" minValue="200" maxValue="3400"/>
    </cacheField>
    <cacheField name="CTR" numFmtId="0">
      <sharedItems containsSemiMixedTypes="0" containsString="0" containsNumber="1" minValue="8.3333333333333332E-3" maxValue="0.08"/>
    </cacheField>
    <cacheField name="CPC" numFmtId="0">
      <sharedItems containsSemiMixedTypes="0" containsString="0" containsNumber="1" containsInteger="1" minValue="2" maxValue="4"/>
    </cacheField>
    <cacheField name="CPA" numFmtId="0">
      <sharedItems containsSemiMixedTypes="0" containsString="0" containsNumber="1" minValue="14.4" maxValue="40"/>
    </cacheField>
    <cacheField name="ROAS" numFmtId="0">
      <sharedItems containsSemiMixedTypes="0" containsString="0" containsNumber="1" minValue="2.5" maxValue="6.4393939393939394"/>
    </cacheField>
    <cacheField name="Performance " numFmtId="0">
      <sharedItems count="2">
        <s v="Good"/>
        <s v="Average"/>
      </sharedItems>
    </cacheField>
  </cacheFields>
  <extLst>
    <ext xmlns:x14="http://schemas.microsoft.com/office/spreadsheetml/2009/9/main" uri="{725AE2AE-9491-48be-B2B4-4EB974FC3084}">
      <x14:pivotCacheDefinition pivotCacheId="1282194430"/>
    </ext>
  </extLst>
</pivotCacheDefinition>
</file>

<file path=xl/pivotCache/pivotCacheRecords1.xml><?xml version="1.0" encoding="utf-8"?>
<pivotCacheRecords xmlns="http://schemas.openxmlformats.org/spreadsheetml/2006/main" xmlns:r="http://schemas.openxmlformats.org/officeDocument/2006/relationships" count="18">
  <r>
    <d v="2025-01-01T00:00:00"/>
    <x v="0"/>
    <s v="Emergency Tow"/>
    <x v="0"/>
    <s v="Exact"/>
    <x v="0"/>
    <n v="1800"/>
    <n v="140"/>
    <n v="420"/>
    <x v="0"/>
    <n v="2600"/>
    <n v="7.7777777777777779E-2"/>
    <n v="3"/>
    <n v="16.153846153846153"/>
    <n v="6.1904761904761907"/>
    <x v="0"/>
  </r>
  <r>
    <d v="2025-01-01T00:00:00"/>
    <x v="0"/>
    <s v="Emergency Tow"/>
    <x v="1"/>
    <s v="Exact"/>
    <x v="0"/>
    <n v="1500"/>
    <n v="120"/>
    <n v="360"/>
    <x v="1"/>
    <n v="2200"/>
    <n v="0.08"/>
    <n v="3"/>
    <n v="16.363636363636363"/>
    <n v="6.1111111111111107"/>
    <x v="0"/>
  </r>
  <r>
    <d v="2025-01-01T00:00:00"/>
    <x v="0"/>
    <s v="Roadside Assistance"/>
    <x v="2"/>
    <s v="Phrase"/>
    <x v="1"/>
    <n v="1100"/>
    <n v="55"/>
    <n v="220"/>
    <x v="2"/>
    <n v="720"/>
    <n v="0.05"/>
    <n v="4"/>
    <n v="24.444444444444443"/>
    <n v="3.2727272727272729"/>
    <x v="0"/>
  </r>
  <r>
    <d v="2025-01-01T00:00:00"/>
    <x v="1"/>
    <s v="All Users"/>
    <x v="3"/>
    <s v="Broad"/>
    <x v="0"/>
    <n v="6200"/>
    <n v="62"/>
    <n v="124"/>
    <x v="3"/>
    <n v="400"/>
    <n v="0.01"/>
    <n v="2"/>
    <n v="31"/>
    <n v="3.225806451612903"/>
    <x v="0"/>
  </r>
  <r>
    <d v="2025-01-02T00:00:00"/>
    <x v="0"/>
    <s v="Emergency Tow"/>
    <x v="0"/>
    <s v="Exact"/>
    <x v="1"/>
    <n v="1300"/>
    <n v="78"/>
    <n v="312"/>
    <x v="4"/>
    <n v="1400"/>
    <n v="0.06"/>
    <n v="4"/>
    <n v="22.285714285714285"/>
    <n v="4.4871794871794872"/>
    <x v="0"/>
  </r>
  <r>
    <d v="2025-01-02T00:00:00"/>
    <x v="0"/>
    <s v="Roadside Assistance"/>
    <x v="4"/>
    <s v="Exact"/>
    <x v="0"/>
    <n v="1400"/>
    <n v="98"/>
    <n v="294"/>
    <x v="5"/>
    <n v="1440"/>
    <n v="7.0000000000000007E-2"/>
    <n v="3"/>
    <n v="16.333333333333332"/>
    <n v="4.8979591836734695"/>
    <x v="0"/>
  </r>
  <r>
    <d v="2025-01-02T00:00:00"/>
    <x v="0"/>
    <s v="Emergency Tow"/>
    <x v="5"/>
    <s v="Phrase"/>
    <x v="0"/>
    <n v="1600"/>
    <n v="110"/>
    <n v="330"/>
    <x v="6"/>
    <n v="2100"/>
    <n v="6.8750000000000006E-2"/>
    <n v="3"/>
    <n v="15.714285714285714"/>
    <n v="6.3636363636363633"/>
    <x v="0"/>
  </r>
  <r>
    <d v="2025-01-02T00:00:00"/>
    <x v="1"/>
    <s v="All Users"/>
    <x v="3"/>
    <s v="Broad"/>
    <x v="1"/>
    <n v="5100"/>
    <n v="44"/>
    <n v="88"/>
    <x v="7"/>
    <n v="300"/>
    <n v="8.6274509803921564E-3"/>
    <n v="2"/>
    <n v="29.333333333333332"/>
    <n v="3.4090909090909092"/>
    <x v="0"/>
  </r>
  <r>
    <d v="2025-01-03T00:00:00"/>
    <x v="0"/>
    <s v="Emergency Tow"/>
    <x v="0"/>
    <s v="Exact"/>
    <x v="0"/>
    <n v="2000"/>
    <n v="160"/>
    <n v="480"/>
    <x v="8"/>
    <n v="3000"/>
    <n v="0.08"/>
    <n v="3"/>
    <n v="16"/>
    <n v="6.25"/>
    <x v="0"/>
  </r>
  <r>
    <d v="2025-01-03T00:00:00"/>
    <x v="0"/>
    <s v="Roadside Assistance"/>
    <x v="2"/>
    <s v="Phrase"/>
    <x v="0"/>
    <n v="1200"/>
    <n v="72"/>
    <n v="216"/>
    <x v="9"/>
    <n v="1200"/>
    <n v="0.06"/>
    <n v="3"/>
    <n v="14.4"/>
    <n v="5.5555555555555554"/>
    <x v="0"/>
  </r>
  <r>
    <d v="2025-01-03T00:00:00"/>
    <x v="0"/>
    <s v="Emergency Tow"/>
    <x v="1"/>
    <s v="Exact"/>
    <x v="1"/>
    <n v="1000"/>
    <n v="60"/>
    <n v="240"/>
    <x v="10"/>
    <n v="1000"/>
    <n v="0.06"/>
    <n v="4"/>
    <n v="24"/>
    <n v="4.166666666666667"/>
    <x v="0"/>
  </r>
  <r>
    <d v="2025-01-03T00:00:00"/>
    <x v="1"/>
    <s v="All Users"/>
    <x v="3"/>
    <s v="Broad"/>
    <x v="0"/>
    <n v="7000"/>
    <n v="70"/>
    <n v="140"/>
    <x v="11"/>
    <n v="500"/>
    <n v="0.01"/>
    <n v="2"/>
    <n v="28"/>
    <n v="3.5714285714285716"/>
    <x v="0"/>
  </r>
  <r>
    <d v="2025-01-04T00:00:00"/>
    <x v="0"/>
    <s v="Emergency Tow"/>
    <x v="0"/>
    <s v="Exact"/>
    <x v="0"/>
    <n v="2200"/>
    <n v="176"/>
    <n v="528"/>
    <x v="12"/>
    <n v="3400"/>
    <n v="0.08"/>
    <n v="3"/>
    <n v="15.529411764705882"/>
    <n v="6.4393939393939394"/>
    <x v="0"/>
  </r>
  <r>
    <d v="2025-01-04T00:00:00"/>
    <x v="0"/>
    <s v="Roadside Assistance"/>
    <x v="4"/>
    <s v="Exact"/>
    <x v="1"/>
    <n v="1300"/>
    <n v="78"/>
    <n v="234"/>
    <x v="13"/>
    <n v="960"/>
    <n v="0.06"/>
    <n v="3"/>
    <n v="19.5"/>
    <n v="4.1025641025641022"/>
    <x v="0"/>
  </r>
  <r>
    <d v="2025-01-04T00:00:00"/>
    <x v="1"/>
    <s v="All Users"/>
    <x v="3"/>
    <s v="Broad"/>
    <x v="1"/>
    <n v="4800"/>
    <n v="40"/>
    <n v="80"/>
    <x v="14"/>
    <n v="200"/>
    <n v="8.3333333333333332E-3"/>
    <n v="2"/>
    <n v="40"/>
    <n v="2.5"/>
    <x v="0"/>
  </r>
  <r>
    <d v="2025-01-05T00:00:00"/>
    <x v="0"/>
    <s v="Emergency Tow"/>
    <x v="5"/>
    <s v="Phrase"/>
    <x v="0"/>
    <n v="1900"/>
    <n v="133"/>
    <n v="399"/>
    <x v="15"/>
    <n v="2500"/>
    <n v="7.0000000000000007E-2"/>
    <n v="3"/>
    <n v="15.96"/>
    <n v="6.2656641604010028"/>
    <x v="1"/>
  </r>
  <r>
    <d v="2025-01-05T00:00:00"/>
    <x v="0"/>
    <s v="Roadside Assistance"/>
    <x v="2"/>
    <s v="Exact"/>
    <x v="0"/>
    <n v="1600"/>
    <n v="112"/>
    <n v="336"/>
    <x v="16"/>
    <n v="1600"/>
    <n v="7.0000000000000007E-2"/>
    <n v="3"/>
    <n v="16.8"/>
    <n v="4.7619047619047619"/>
    <x v="0"/>
  </r>
  <r>
    <d v="2025-01-05T00:00:00"/>
    <x v="1"/>
    <s v="All Users"/>
    <x v="3"/>
    <s v="Broad"/>
    <x v="0"/>
    <n v="6500"/>
    <n v="65"/>
    <n v="130"/>
    <x v="3"/>
    <n v="400"/>
    <n v="0.01"/>
    <n v="2"/>
    <n v="32.5"/>
    <n v="3.0769230769230771"/>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 cacheId="8"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rowHeaderCaption="Campaign">
  <location ref="A3:D6" firstHeaderRow="0" firstDataRow="1" firstDataCol="1"/>
  <pivotFields count="16">
    <pivotField numFmtId="14" showAll="0"/>
    <pivotField axis="axisRow" showAll="0">
      <items count="3">
        <item x="1"/>
        <item x="0"/>
        <item t="default"/>
      </items>
    </pivotField>
    <pivotField showAll="0"/>
    <pivotField showAll="0"/>
    <pivotField showAll="0"/>
    <pivotField showAll="0"/>
    <pivotField showAll="0"/>
    <pivotField showAll="0"/>
    <pivotField dataField="1" showAll="0"/>
    <pivotField dataField="1" showAll="0">
      <items count="18">
        <item x="14"/>
        <item x="7"/>
        <item x="3"/>
        <item x="11"/>
        <item x="2"/>
        <item x="10"/>
        <item x="13"/>
        <item x="4"/>
        <item x="9"/>
        <item x="5"/>
        <item x="16"/>
        <item x="6"/>
        <item x="1"/>
        <item x="15"/>
        <item x="0"/>
        <item x="8"/>
        <item x="12"/>
        <item t="default"/>
      </items>
    </pivotField>
    <pivotField showAll="0"/>
    <pivotField showAll="0"/>
    <pivotField showAll="0"/>
    <pivotField showAll="0"/>
    <pivotField dataField="1" showAll="0"/>
    <pivotField showAll="0"/>
  </pivotFields>
  <rowFields count="1">
    <field x="1"/>
  </rowFields>
  <rowItems count="3">
    <i>
      <x/>
    </i>
    <i>
      <x v="1"/>
    </i>
    <i t="grand">
      <x/>
    </i>
  </rowItems>
  <colFields count="1">
    <field x="-2"/>
  </colFields>
  <colItems count="3">
    <i>
      <x/>
    </i>
    <i i="1">
      <x v="1"/>
    </i>
    <i i="2">
      <x v="2"/>
    </i>
  </colItems>
  <dataFields count="3">
    <dataField name="Sum of Cost" fld="8" baseField="0" baseItem="0"/>
    <dataField name="Sum of Conversions" fld="9" baseField="0" baseItem="0"/>
    <dataField name="Sum of ROAS" fld="14" baseField="0" baseItem="0" numFmtId="2"/>
  </dataFields>
  <formats count="7">
    <format dxfId="121">
      <pivotArea type="all" dataOnly="0" outline="0" fieldPosition="0"/>
    </format>
    <format dxfId="120">
      <pivotArea outline="0" collapsedLevelsAreSubtotals="1" fieldPosition="0"/>
    </format>
    <format dxfId="119">
      <pivotArea field="1" type="button" dataOnly="0" labelOnly="1" outline="0" axis="axisRow" fieldPosition="0"/>
    </format>
    <format dxfId="118">
      <pivotArea dataOnly="0" labelOnly="1" fieldPosition="0">
        <references count="1">
          <reference field="1" count="0"/>
        </references>
      </pivotArea>
    </format>
    <format dxfId="117">
      <pivotArea dataOnly="0" labelOnly="1" grandRow="1" outline="0" fieldPosition="0"/>
    </format>
    <format dxfId="116">
      <pivotArea dataOnly="0" labelOnly="1" outline="0" fieldPosition="0">
        <references count="1">
          <reference field="4294967294" count="3">
            <x v="0"/>
            <x v="1"/>
            <x v="2"/>
          </reference>
        </references>
      </pivotArea>
    </format>
    <format dxfId="7">
      <pivotArea outline="0" collapsedLevelsAreSubtotals="1" fieldPosition="0">
        <references count="1">
          <reference field="4294967294" count="1" selected="0">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name="PivotTable3" cacheId="8"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rowHeaderCaption="Keyword">
  <location ref="A3:D10" firstHeaderRow="0" firstDataRow="1" firstDataCol="1"/>
  <pivotFields count="16">
    <pivotField numFmtId="14" showAll="0"/>
    <pivotField showAll="0"/>
    <pivotField showAll="0"/>
    <pivotField axis="axisRow" showAll="0">
      <items count="7">
        <item x="1"/>
        <item x="5"/>
        <item x="3"/>
        <item x="2"/>
        <item x="4"/>
        <item x="0"/>
        <item t="default"/>
      </items>
    </pivotField>
    <pivotField showAll="0"/>
    <pivotField showAll="0"/>
    <pivotField showAll="0"/>
    <pivotField showAll="0"/>
    <pivotField dataField="1" showAll="0"/>
    <pivotField dataField="1" showAll="0"/>
    <pivotField showAll="0"/>
    <pivotField showAll="0"/>
    <pivotField showAll="0"/>
    <pivotField showAll="0"/>
    <pivotField dataField="1" showAll="0"/>
    <pivotField showAll="0">
      <items count="3">
        <item x="1"/>
        <item x="0"/>
        <item t="default"/>
      </items>
    </pivotField>
  </pivotFields>
  <rowFields count="1">
    <field x="3"/>
  </rowFields>
  <rowItems count="7">
    <i>
      <x/>
    </i>
    <i>
      <x v="1"/>
    </i>
    <i>
      <x v="2"/>
    </i>
    <i>
      <x v="3"/>
    </i>
    <i>
      <x v="4"/>
    </i>
    <i>
      <x v="5"/>
    </i>
    <i t="grand">
      <x/>
    </i>
  </rowItems>
  <colFields count="1">
    <field x="-2"/>
  </colFields>
  <colItems count="3">
    <i>
      <x/>
    </i>
    <i i="1">
      <x v="1"/>
    </i>
    <i i="2">
      <x v="2"/>
    </i>
  </colItems>
  <dataFields count="3">
    <dataField name="Sum of Conversions" fld="9" baseField="0" baseItem="0"/>
    <dataField name="Sum of Cost" fld="8" baseField="0" baseItem="0"/>
    <dataField name="Sum of ROAS" fld="14" baseField="0" baseItem="0" numFmtId="2"/>
  </dataFields>
  <formats count="7">
    <format dxfId="115">
      <pivotArea type="all" dataOnly="0" outline="0" fieldPosition="0"/>
    </format>
    <format dxfId="114">
      <pivotArea outline="0" collapsedLevelsAreSubtotals="1" fieldPosition="0"/>
    </format>
    <format dxfId="113">
      <pivotArea field="3" type="button" dataOnly="0" labelOnly="1" outline="0" axis="axisRow" fieldPosition="0"/>
    </format>
    <format dxfId="112">
      <pivotArea dataOnly="0" labelOnly="1" fieldPosition="0">
        <references count="1">
          <reference field="3" count="0"/>
        </references>
      </pivotArea>
    </format>
    <format dxfId="111">
      <pivotArea dataOnly="0" labelOnly="1" grandRow="1" outline="0" fieldPosition="0"/>
    </format>
    <format dxfId="110">
      <pivotArea dataOnly="0" labelOnly="1" outline="0" fieldPosition="0">
        <references count="1">
          <reference field="4294967294" count="3">
            <x v="0"/>
            <x v="1"/>
            <x v="2"/>
          </reference>
        </references>
      </pivotArea>
    </format>
    <format dxfId="0">
      <pivotArea outline="0" collapsedLevelsAreSubtotals="1" fieldPosition="0">
        <references count="1">
          <reference field="4294967294" count="1" selected="0">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Campaign" sourceName="Campaign">
  <pivotTables>
    <pivotTable tabId="2" name="PivotTable1"/>
  </pivotTables>
  <data>
    <tabular pivotCacheId="1282194430">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Keyword" sourceName="Keyword">
  <pivotTables>
    <pivotTable tabId="4" name="PivotTable3"/>
  </pivotTables>
  <data>
    <tabular pivotCacheId="1282194430">
      <items count="6">
        <i x="1" s="1"/>
        <i x="5" s="1"/>
        <i x="3" s="1"/>
        <i x="2" s="1"/>
        <i x="4"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Campaign" cache="Slicer_Campaign" caption="Campaign" rowHeight="241300"/>
</slicers>
</file>

<file path=xl/slicers/slicer2.xml><?xml version="1.0" encoding="utf-8"?>
<slicers xmlns="http://schemas.microsoft.com/office/spreadsheetml/2009/9/main" xmlns:mc="http://schemas.openxmlformats.org/markup-compatibility/2006" xmlns:x="http://schemas.openxmlformats.org/spreadsheetml/2006/main" mc:Ignorable="x">
  <slicer name="Keyword" cache="Slicer_Keyword" caption="Keyword"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23"/>
  <sheetViews>
    <sheetView tabSelected="1" workbookViewId="0">
      <pane ySplit="5" topLeftCell="A6" activePane="bottomLeft" state="frozen"/>
      <selection pane="bottomLeft" activeCell="A4" sqref="A4:F4"/>
    </sheetView>
  </sheetViews>
  <sheetFormatPr defaultRowHeight="15" x14ac:dyDescent="0.25"/>
  <cols>
    <col min="1" max="1" width="15" style="1" customWidth="1"/>
    <col min="2" max="2" width="24.7109375" style="1" customWidth="1"/>
    <col min="3" max="3" width="23.85546875" style="1" customWidth="1"/>
    <col min="4" max="4" width="26.5703125" style="1" customWidth="1"/>
    <col min="5" max="5" width="18" style="1" customWidth="1"/>
    <col min="6" max="6" width="18.5703125" style="1" customWidth="1"/>
    <col min="7" max="7" width="15.28515625" style="1" customWidth="1"/>
    <col min="8" max="8" width="14" style="1" customWidth="1"/>
    <col min="9" max="9" width="12.28515625" style="1" customWidth="1"/>
    <col min="10" max="10" width="13.42578125" style="1" customWidth="1"/>
    <col min="11" max="11" width="13.7109375" style="1" customWidth="1"/>
    <col min="12" max="12" width="14.5703125" style="1" customWidth="1"/>
    <col min="13" max="13" width="11.5703125" style="1" customWidth="1"/>
    <col min="14" max="14" width="12.28515625" style="1" customWidth="1"/>
    <col min="15" max="15" width="12.5703125" style="1" customWidth="1"/>
    <col min="16" max="16" width="31.42578125" style="1" customWidth="1"/>
    <col min="17" max="16384" width="9.140625" style="1"/>
  </cols>
  <sheetData>
    <row r="1" spans="1:16" ht="18.75" x14ac:dyDescent="0.3">
      <c r="A1" s="5" t="s">
        <v>27</v>
      </c>
      <c r="B1" s="5"/>
      <c r="C1" s="5"/>
      <c r="D1" s="5"/>
      <c r="E1" s="5"/>
    </row>
    <row r="2" spans="1:16" ht="15.75" x14ac:dyDescent="0.25">
      <c r="A2" s="4" t="s">
        <v>28</v>
      </c>
      <c r="B2" s="4"/>
      <c r="C2" s="4"/>
      <c r="D2" s="4"/>
      <c r="E2" s="4"/>
      <c r="F2" s="4"/>
    </row>
    <row r="3" spans="1:16" ht="15.75" x14ac:dyDescent="0.25">
      <c r="A3" s="3" t="s">
        <v>29</v>
      </c>
      <c r="B3" s="3"/>
      <c r="C3" s="3"/>
      <c r="D3" s="3"/>
      <c r="E3" s="3"/>
      <c r="F3" s="3"/>
    </row>
    <row r="4" spans="1:16" ht="15.75" x14ac:dyDescent="0.25">
      <c r="A4" s="3" t="s">
        <v>30</v>
      </c>
      <c r="B4" s="3"/>
      <c r="C4" s="3"/>
      <c r="D4" s="3"/>
      <c r="E4" s="3"/>
      <c r="F4" s="3"/>
    </row>
    <row r="5" spans="1:16" s="6" customFormat="1" ht="15.75" x14ac:dyDescent="0.25">
      <c r="A5" s="6" t="s">
        <v>0</v>
      </c>
      <c r="B5" s="6" t="s">
        <v>1</v>
      </c>
      <c r="C5" s="6" t="s">
        <v>2</v>
      </c>
      <c r="D5" s="6" t="s">
        <v>3</v>
      </c>
      <c r="E5" s="6" t="s">
        <v>4</v>
      </c>
      <c r="F5" s="6" t="s">
        <v>5</v>
      </c>
      <c r="G5" s="6" t="s">
        <v>6</v>
      </c>
      <c r="H5" s="6" t="s">
        <v>7</v>
      </c>
      <c r="I5" s="6" t="s">
        <v>8</v>
      </c>
      <c r="J5" s="6" t="s">
        <v>9</v>
      </c>
      <c r="K5" s="6" t="s">
        <v>10</v>
      </c>
      <c r="L5" s="6" t="s">
        <v>31</v>
      </c>
      <c r="M5" s="6" t="s">
        <v>32</v>
      </c>
      <c r="N5" s="6" t="s">
        <v>33</v>
      </c>
      <c r="O5" s="6" t="s">
        <v>34</v>
      </c>
      <c r="P5" s="6" t="s">
        <v>35</v>
      </c>
    </row>
    <row r="6" spans="1:16" x14ac:dyDescent="0.25">
      <c r="A6" s="2">
        <v>45658</v>
      </c>
      <c r="B6" s="1" t="s">
        <v>11</v>
      </c>
      <c r="C6" s="1" t="s">
        <v>12</v>
      </c>
      <c r="D6" s="1" t="s">
        <v>13</v>
      </c>
      <c r="E6" s="1" t="s">
        <v>14</v>
      </c>
      <c r="F6" s="1" t="s">
        <v>15</v>
      </c>
      <c r="G6" s="1">
        <v>1800</v>
      </c>
      <c r="H6" s="1">
        <v>140</v>
      </c>
      <c r="I6" s="1">
        <v>420</v>
      </c>
      <c r="J6" s="1">
        <v>26</v>
      </c>
      <c r="K6" s="1">
        <v>2600</v>
      </c>
      <c r="L6" s="1">
        <f>H6/G6</f>
        <v>7.7777777777777779E-2</v>
      </c>
      <c r="M6" s="1">
        <f>I6/H6</f>
        <v>3</v>
      </c>
      <c r="N6" s="1">
        <f>I6/J6</f>
        <v>16.153846153846153</v>
      </c>
      <c r="O6" s="1">
        <f>K6/I6</f>
        <v>6.1904761904761907</v>
      </c>
      <c r="P6" s="1" t="str">
        <f>IF(O5&gt;=3,"Good", IF(O5&gt;=2, "Average", "Poor"))</f>
        <v>Good</v>
      </c>
    </row>
    <row r="7" spans="1:16" x14ac:dyDescent="0.25">
      <c r="A7" s="2">
        <v>45658</v>
      </c>
      <c r="B7" s="1" t="s">
        <v>11</v>
      </c>
      <c r="C7" s="1" t="s">
        <v>12</v>
      </c>
      <c r="D7" s="1" t="s">
        <v>16</v>
      </c>
      <c r="E7" s="1" t="s">
        <v>14</v>
      </c>
      <c r="F7" s="1" t="s">
        <v>15</v>
      </c>
      <c r="G7" s="1">
        <v>1500</v>
      </c>
      <c r="H7" s="1">
        <v>120</v>
      </c>
      <c r="I7" s="1">
        <v>360</v>
      </c>
      <c r="J7" s="1">
        <v>22</v>
      </c>
      <c r="K7" s="1">
        <v>2200</v>
      </c>
      <c r="L7" s="1">
        <f>H7/G7</f>
        <v>0.08</v>
      </c>
      <c r="M7" s="1">
        <f t="shared" ref="M7:M23" si="0">I7/H7</f>
        <v>3</v>
      </c>
      <c r="N7" s="1">
        <f t="shared" ref="N7:N23" si="1">I7/J7</f>
        <v>16.363636363636363</v>
      </c>
      <c r="O7" s="1">
        <f t="shared" ref="O7:O23" si="2">K7/I7</f>
        <v>6.1111111111111107</v>
      </c>
      <c r="P7" s="1" t="str">
        <f t="shared" ref="P7:P23" si="3">IF(O6&gt;=3,"Good", IF(O6&gt;=2, "Average", "Poor"))</f>
        <v>Good</v>
      </c>
    </row>
    <row r="8" spans="1:16" x14ac:dyDescent="0.25">
      <c r="A8" s="2">
        <v>45658</v>
      </c>
      <c r="B8" s="1" t="s">
        <v>11</v>
      </c>
      <c r="C8" s="1" t="s">
        <v>17</v>
      </c>
      <c r="D8" s="1" t="s">
        <v>18</v>
      </c>
      <c r="E8" s="1" t="s">
        <v>19</v>
      </c>
      <c r="F8" s="1" t="s">
        <v>20</v>
      </c>
      <c r="G8" s="1">
        <v>1100</v>
      </c>
      <c r="H8" s="1">
        <v>55</v>
      </c>
      <c r="I8" s="1">
        <v>220</v>
      </c>
      <c r="J8" s="1">
        <v>9</v>
      </c>
      <c r="K8" s="1">
        <v>720</v>
      </c>
      <c r="L8" s="1">
        <f>H8/G8</f>
        <v>0.05</v>
      </c>
      <c r="M8" s="1">
        <f t="shared" si="0"/>
        <v>4</v>
      </c>
      <c r="N8" s="9">
        <f>I8/J8</f>
        <v>24.444444444444443</v>
      </c>
      <c r="O8" s="9">
        <f t="shared" si="2"/>
        <v>3.2727272727272729</v>
      </c>
      <c r="P8" s="1" t="str">
        <f t="shared" si="3"/>
        <v>Good</v>
      </c>
    </row>
    <row r="9" spans="1:16" x14ac:dyDescent="0.25">
      <c r="A9" s="2">
        <v>45658</v>
      </c>
      <c r="B9" s="1" t="s">
        <v>21</v>
      </c>
      <c r="C9" s="1" t="s">
        <v>22</v>
      </c>
      <c r="D9" s="1" t="s">
        <v>23</v>
      </c>
      <c r="E9" s="1" t="s">
        <v>24</v>
      </c>
      <c r="F9" s="1" t="s">
        <v>15</v>
      </c>
      <c r="G9" s="1">
        <v>6200</v>
      </c>
      <c r="H9" s="1">
        <v>62</v>
      </c>
      <c r="I9" s="1">
        <v>124</v>
      </c>
      <c r="J9" s="1">
        <v>4</v>
      </c>
      <c r="K9" s="1">
        <v>400</v>
      </c>
      <c r="L9" s="1">
        <f t="shared" ref="L7:L23" si="4">H9/G9</f>
        <v>0.01</v>
      </c>
      <c r="M9" s="1">
        <f t="shared" si="0"/>
        <v>2</v>
      </c>
      <c r="N9" s="9">
        <f t="shared" ref="N9:N23" si="5">I9/J9</f>
        <v>31</v>
      </c>
      <c r="O9" s="9">
        <f t="shared" si="2"/>
        <v>3.225806451612903</v>
      </c>
      <c r="P9" s="1" t="str">
        <f t="shared" si="3"/>
        <v>Good</v>
      </c>
    </row>
    <row r="10" spans="1:16" x14ac:dyDescent="0.25">
      <c r="A10" s="2">
        <v>45659</v>
      </c>
      <c r="B10" s="1" t="s">
        <v>11</v>
      </c>
      <c r="C10" s="1" t="s">
        <v>12</v>
      </c>
      <c r="D10" s="1" t="s">
        <v>13</v>
      </c>
      <c r="E10" s="1" t="s">
        <v>14</v>
      </c>
      <c r="F10" s="1" t="s">
        <v>20</v>
      </c>
      <c r="G10" s="1">
        <v>1300</v>
      </c>
      <c r="H10" s="1">
        <v>78</v>
      </c>
      <c r="I10" s="1">
        <v>312</v>
      </c>
      <c r="J10" s="1">
        <v>14</v>
      </c>
      <c r="K10" s="1">
        <v>1400</v>
      </c>
      <c r="L10" s="1">
        <f t="shared" si="4"/>
        <v>0.06</v>
      </c>
      <c r="M10" s="1">
        <f t="shared" si="0"/>
        <v>4</v>
      </c>
      <c r="N10" s="9">
        <f t="shared" si="5"/>
        <v>22.285714285714285</v>
      </c>
      <c r="O10" s="9">
        <f t="shared" si="2"/>
        <v>4.4871794871794872</v>
      </c>
      <c r="P10" s="1" t="str">
        <f t="shared" si="3"/>
        <v>Good</v>
      </c>
    </row>
    <row r="11" spans="1:16" x14ac:dyDescent="0.25">
      <c r="A11" s="2">
        <v>45659</v>
      </c>
      <c r="B11" s="1" t="s">
        <v>11</v>
      </c>
      <c r="C11" s="1" t="s">
        <v>17</v>
      </c>
      <c r="D11" s="1" t="s">
        <v>25</v>
      </c>
      <c r="E11" s="1" t="s">
        <v>14</v>
      </c>
      <c r="F11" s="1" t="s">
        <v>15</v>
      </c>
      <c r="G11" s="1">
        <v>1400</v>
      </c>
      <c r="H11" s="1">
        <v>98</v>
      </c>
      <c r="I11" s="1">
        <v>294</v>
      </c>
      <c r="J11" s="1">
        <v>18</v>
      </c>
      <c r="K11" s="1">
        <v>1440</v>
      </c>
      <c r="L11" s="1">
        <f t="shared" si="4"/>
        <v>7.0000000000000007E-2</v>
      </c>
      <c r="M11" s="1">
        <f t="shared" si="0"/>
        <v>3</v>
      </c>
      <c r="N11" s="9">
        <f t="shared" si="5"/>
        <v>16.333333333333332</v>
      </c>
      <c r="O11" s="9">
        <f t="shared" si="2"/>
        <v>4.8979591836734695</v>
      </c>
      <c r="P11" s="1" t="str">
        <f t="shared" si="3"/>
        <v>Good</v>
      </c>
    </row>
    <row r="12" spans="1:16" x14ac:dyDescent="0.25">
      <c r="A12" s="2">
        <v>45659</v>
      </c>
      <c r="B12" s="1" t="s">
        <v>11</v>
      </c>
      <c r="C12" s="1" t="s">
        <v>12</v>
      </c>
      <c r="D12" s="1" t="s">
        <v>26</v>
      </c>
      <c r="E12" s="1" t="s">
        <v>19</v>
      </c>
      <c r="F12" s="1" t="s">
        <v>15</v>
      </c>
      <c r="G12" s="1">
        <v>1600</v>
      </c>
      <c r="H12" s="1">
        <v>110</v>
      </c>
      <c r="I12" s="1">
        <v>330</v>
      </c>
      <c r="J12" s="1">
        <v>21</v>
      </c>
      <c r="K12" s="1">
        <v>2100</v>
      </c>
      <c r="L12" s="1">
        <f t="shared" si="4"/>
        <v>6.8750000000000006E-2</v>
      </c>
      <c r="M12" s="1">
        <f t="shared" si="0"/>
        <v>3</v>
      </c>
      <c r="N12" s="9">
        <f t="shared" si="5"/>
        <v>15.714285714285714</v>
      </c>
      <c r="O12" s="9">
        <f t="shared" si="2"/>
        <v>6.3636363636363633</v>
      </c>
      <c r="P12" s="1" t="str">
        <f t="shared" si="3"/>
        <v>Good</v>
      </c>
    </row>
    <row r="13" spans="1:16" x14ac:dyDescent="0.25">
      <c r="A13" s="2">
        <v>45659</v>
      </c>
      <c r="B13" s="1" t="s">
        <v>21</v>
      </c>
      <c r="C13" s="1" t="s">
        <v>22</v>
      </c>
      <c r="D13" s="1" t="s">
        <v>23</v>
      </c>
      <c r="E13" s="1" t="s">
        <v>24</v>
      </c>
      <c r="F13" s="1" t="s">
        <v>20</v>
      </c>
      <c r="G13" s="1">
        <v>5100</v>
      </c>
      <c r="H13" s="1">
        <v>44</v>
      </c>
      <c r="I13" s="1">
        <v>88</v>
      </c>
      <c r="J13" s="1">
        <v>3</v>
      </c>
      <c r="K13" s="1">
        <v>300</v>
      </c>
      <c r="L13" s="1">
        <f t="shared" si="4"/>
        <v>8.6274509803921564E-3</v>
      </c>
      <c r="M13" s="1">
        <f t="shared" si="0"/>
        <v>2</v>
      </c>
      <c r="N13" s="9">
        <f t="shared" si="5"/>
        <v>29.333333333333332</v>
      </c>
      <c r="O13" s="9">
        <f t="shared" si="2"/>
        <v>3.4090909090909092</v>
      </c>
      <c r="P13" s="1" t="str">
        <f t="shared" si="3"/>
        <v>Good</v>
      </c>
    </row>
    <row r="14" spans="1:16" x14ac:dyDescent="0.25">
      <c r="A14" s="2">
        <v>45660</v>
      </c>
      <c r="B14" s="1" t="s">
        <v>11</v>
      </c>
      <c r="C14" s="1" t="s">
        <v>12</v>
      </c>
      <c r="D14" s="1" t="s">
        <v>13</v>
      </c>
      <c r="E14" s="1" t="s">
        <v>14</v>
      </c>
      <c r="F14" s="1" t="s">
        <v>15</v>
      </c>
      <c r="G14" s="1">
        <v>2000</v>
      </c>
      <c r="H14" s="1">
        <v>160</v>
      </c>
      <c r="I14" s="1">
        <v>480</v>
      </c>
      <c r="J14" s="1">
        <v>30</v>
      </c>
      <c r="K14" s="1">
        <v>3000</v>
      </c>
      <c r="L14" s="1">
        <f t="shared" si="4"/>
        <v>0.08</v>
      </c>
      <c r="M14" s="1">
        <f t="shared" si="0"/>
        <v>3</v>
      </c>
      <c r="N14" s="9">
        <f t="shared" si="5"/>
        <v>16</v>
      </c>
      <c r="O14" s="9">
        <f t="shared" si="2"/>
        <v>6.25</v>
      </c>
      <c r="P14" s="1" t="str">
        <f t="shared" si="3"/>
        <v>Good</v>
      </c>
    </row>
    <row r="15" spans="1:16" x14ac:dyDescent="0.25">
      <c r="A15" s="2">
        <v>45660</v>
      </c>
      <c r="B15" s="1" t="s">
        <v>11</v>
      </c>
      <c r="C15" s="1" t="s">
        <v>17</v>
      </c>
      <c r="D15" s="1" t="s">
        <v>18</v>
      </c>
      <c r="E15" s="1" t="s">
        <v>19</v>
      </c>
      <c r="F15" s="1" t="s">
        <v>15</v>
      </c>
      <c r="G15" s="1">
        <v>1200</v>
      </c>
      <c r="H15" s="1">
        <v>72</v>
      </c>
      <c r="I15" s="1">
        <v>216</v>
      </c>
      <c r="J15" s="1">
        <v>15</v>
      </c>
      <c r="K15" s="1">
        <v>1200</v>
      </c>
      <c r="L15" s="1">
        <f t="shared" si="4"/>
        <v>0.06</v>
      </c>
      <c r="M15" s="1">
        <f t="shared" si="0"/>
        <v>3</v>
      </c>
      <c r="N15" s="9">
        <f t="shared" si="5"/>
        <v>14.4</v>
      </c>
      <c r="O15" s="9">
        <f t="shared" si="2"/>
        <v>5.5555555555555554</v>
      </c>
      <c r="P15" s="1" t="str">
        <f t="shared" si="3"/>
        <v>Good</v>
      </c>
    </row>
    <row r="16" spans="1:16" x14ac:dyDescent="0.25">
      <c r="A16" s="2">
        <v>45660</v>
      </c>
      <c r="B16" s="1" t="s">
        <v>11</v>
      </c>
      <c r="C16" s="1" t="s">
        <v>12</v>
      </c>
      <c r="D16" s="1" t="s">
        <v>16</v>
      </c>
      <c r="E16" s="1" t="s">
        <v>14</v>
      </c>
      <c r="F16" s="1" t="s">
        <v>20</v>
      </c>
      <c r="G16" s="1">
        <v>1000</v>
      </c>
      <c r="H16" s="1">
        <v>60</v>
      </c>
      <c r="I16" s="1">
        <v>240</v>
      </c>
      <c r="J16" s="1">
        <v>10</v>
      </c>
      <c r="K16" s="1">
        <v>1000</v>
      </c>
      <c r="L16" s="1">
        <f t="shared" si="4"/>
        <v>0.06</v>
      </c>
      <c r="M16" s="1">
        <f t="shared" si="0"/>
        <v>4</v>
      </c>
      <c r="N16" s="9">
        <f t="shared" si="5"/>
        <v>24</v>
      </c>
      <c r="O16" s="9">
        <f t="shared" si="2"/>
        <v>4.166666666666667</v>
      </c>
      <c r="P16" s="1" t="str">
        <f t="shared" si="3"/>
        <v>Good</v>
      </c>
    </row>
    <row r="17" spans="1:16" x14ac:dyDescent="0.25">
      <c r="A17" s="2">
        <v>45660</v>
      </c>
      <c r="B17" s="1" t="s">
        <v>21</v>
      </c>
      <c r="C17" s="1" t="s">
        <v>22</v>
      </c>
      <c r="D17" s="1" t="s">
        <v>23</v>
      </c>
      <c r="E17" s="1" t="s">
        <v>24</v>
      </c>
      <c r="F17" s="1" t="s">
        <v>15</v>
      </c>
      <c r="G17" s="1">
        <v>7000</v>
      </c>
      <c r="H17" s="1">
        <v>70</v>
      </c>
      <c r="I17" s="1">
        <v>140</v>
      </c>
      <c r="J17" s="1">
        <v>5</v>
      </c>
      <c r="K17" s="1">
        <v>500</v>
      </c>
      <c r="L17" s="1">
        <f t="shared" si="4"/>
        <v>0.01</v>
      </c>
      <c r="M17" s="1">
        <f t="shared" si="0"/>
        <v>2</v>
      </c>
      <c r="N17" s="9">
        <f t="shared" si="5"/>
        <v>28</v>
      </c>
      <c r="O17" s="9">
        <f t="shared" si="2"/>
        <v>3.5714285714285716</v>
      </c>
      <c r="P17" s="1" t="str">
        <f t="shared" si="3"/>
        <v>Good</v>
      </c>
    </row>
    <row r="18" spans="1:16" x14ac:dyDescent="0.25">
      <c r="A18" s="2">
        <v>45661</v>
      </c>
      <c r="B18" s="1" t="s">
        <v>11</v>
      </c>
      <c r="C18" s="1" t="s">
        <v>12</v>
      </c>
      <c r="D18" s="1" t="s">
        <v>13</v>
      </c>
      <c r="E18" s="1" t="s">
        <v>14</v>
      </c>
      <c r="F18" s="1" t="s">
        <v>15</v>
      </c>
      <c r="G18" s="1">
        <v>2200</v>
      </c>
      <c r="H18" s="1">
        <v>176</v>
      </c>
      <c r="I18" s="1">
        <v>528</v>
      </c>
      <c r="J18" s="1">
        <v>34</v>
      </c>
      <c r="K18" s="1">
        <v>3400</v>
      </c>
      <c r="L18" s="1">
        <f t="shared" si="4"/>
        <v>0.08</v>
      </c>
      <c r="M18" s="1">
        <f t="shared" si="0"/>
        <v>3</v>
      </c>
      <c r="N18" s="9">
        <f t="shared" si="5"/>
        <v>15.529411764705882</v>
      </c>
      <c r="O18" s="9">
        <f t="shared" si="2"/>
        <v>6.4393939393939394</v>
      </c>
      <c r="P18" s="1" t="str">
        <f t="shared" si="3"/>
        <v>Good</v>
      </c>
    </row>
    <row r="19" spans="1:16" x14ac:dyDescent="0.25">
      <c r="A19" s="2">
        <v>45661</v>
      </c>
      <c r="B19" s="1" t="s">
        <v>11</v>
      </c>
      <c r="C19" s="1" t="s">
        <v>17</v>
      </c>
      <c r="D19" s="1" t="s">
        <v>25</v>
      </c>
      <c r="E19" s="1" t="s">
        <v>14</v>
      </c>
      <c r="F19" s="1" t="s">
        <v>20</v>
      </c>
      <c r="G19" s="1">
        <v>1300</v>
      </c>
      <c r="H19" s="1">
        <v>78</v>
      </c>
      <c r="I19" s="1">
        <v>234</v>
      </c>
      <c r="J19" s="1">
        <v>12</v>
      </c>
      <c r="K19" s="1">
        <v>960</v>
      </c>
      <c r="L19" s="1">
        <f t="shared" si="4"/>
        <v>0.06</v>
      </c>
      <c r="M19" s="1">
        <f t="shared" si="0"/>
        <v>3</v>
      </c>
      <c r="N19" s="9">
        <f t="shared" si="5"/>
        <v>19.5</v>
      </c>
      <c r="O19" s="9">
        <f t="shared" si="2"/>
        <v>4.1025641025641022</v>
      </c>
      <c r="P19" s="1" t="str">
        <f t="shared" si="3"/>
        <v>Good</v>
      </c>
    </row>
    <row r="20" spans="1:16" x14ac:dyDescent="0.25">
      <c r="A20" s="2">
        <v>45661</v>
      </c>
      <c r="B20" s="1" t="s">
        <v>21</v>
      </c>
      <c r="C20" s="1" t="s">
        <v>22</v>
      </c>
      <c r="D20" s="1" t="s">
        <v>23</v>
      </c>
      <c r="E20" s="1" t="s">
        <v>24</v>
      </c>
      <c r="F20" s="1" t="s">
        <v>20</v>
      </c>
      <c r="G20" s="1">
        <v>4800</v>
      </c>
      <c r="H20" s="1">
        <v>40</v>
      </c>
      <c r="I20" s="1">
        <v>80</v>
      </c>
      <c r="J20" s="1">
        <v>2</v>
      </c>
      <c r="K20" s="1">
        <v>200</v>
      </c>
      <c r="L20" s="1">
        <f t="shared" si="4"/>
        <v>8.3333333333333332E-3</v>
      </c>
      <c r="M20" s="1">
        <f t="shared" si="0"/>
        <v>2</v>
      </c>
      <c r="N20" s="9">
        <f t="shared" si="5"/>
        <v>40</v>
      </c>
      <c r="O20" s="9">
        <f t="shared" si="2"/>
        <v>2.5</v>
      </c>
      <c r="P20" s="1" t="str">
        <f t="shared" si="3"/>
        <v>Good</v>
      </c>
    </row>
    <row r="21" spans="1:16" x14ac:dyDescent="0.25">
      <c r="A21" s="2">
        <v>45662</v>
      </c>
      <c r="B21" s="1" t="s">
        <v>11</v>
      </c>
      <c r="C21" s="1" t="s">
        <v>12</v>
      </c>
      <c r="D21" s="1" t="s">
        <v>26</v>
      </c>
      <c r="E21" s="1" t="s">
        <v>19</v>
      </c>
      <c r="F21" s="1" t="s">
        <v>15</v>
      </c>
      <c r="G21" s="1">
        <v>1900</v>
      </c>
      <c r="H21" s="1">
        <v>133</v>
      </c>
      <c r="I21" s="1">
        <v>399</v>
      </c>
      <c r="J21" s="1">
        <v>25</v>
      </c>
      <c r="K21" s="1">
        <v>2500</v>
      </c>
      <c r="L21" s="1">
        <f t="shared" si="4"/>
        <v>7.0000000000000007E-2</v>
      </c>
      <c r="M21" s="1">
        <f t="shared" si="0"/>
        <v>3</v>
      </c>
      <c r="N21" s="9">
        <f t="shared" si="5"/>
        <v>15.96</v>
      </c>
      <c r="O21" s="9">
        <f t="shared" si="2"/>
        <v>6.2656641604010028</v>
      </c>
      <c r="P21" s="1" t="str">
        <f t="shared" si="3"/>
        <v>Average</v>
      </c>
    </row>
    <row r="22" spans="1:16" x14ac:dyDescent="0.25">
      <c r="A22" s="2">
        <v>45662</v>
      </c>
      <c r="B22" s="1" t="s">
        <v>11</v>
      </c>
      <c r="C22" s="1" t="s">
        <v>17</v>
      </c>
      <c r="D22" s="1" t="s">
        <v>18</v>
      </c>
      <c r="E22" s="1" t="s">
        <v>14</v>
      </c>
      <c r="F22" s="1" t="s">
        <v>15</v>
      </c>
      <c r="G22" s="1">
        <v>1600</v>
      </c>
      <c r="H22" s="1">
        <v>112</v>
      </c>
      <c r="I22" s="1">
        <v>336</v>
      </c>
      <c r="J22" s="1">
        <v>20</v>
      </c>
      <c r="K22" s="1">
        <v>1600</v>
      </c>
      <c r="L22" s="1">
        <f t="shared" si="4"/>
        <v>7.0000000000000007E-2</v>
      </c>
      <c r="M22" s="1">
        <f t="shared" si="0"/>
        <v>3</v>
      </c>
      <c r="N22" s="9">
        <f t="shared" si="5"/>
        <v>16.8</v>
      </c>
      <c r="O22" s="9">
        <f t="shared" si="2"/>
        <v>4.7619047619047619</v>
      </c>
      <c r="P22" s="1" t="str">
        <f t="shared" si="3"/>
        <v>Good</v>
      </c>
    </row>
    <row r="23" spans="1:16" x14ac:dyDescent="0.25">
      <c r="A23" s="2">
        <v>45662</v>
      </c>
      <c r="B23" s="1" t="s">
        <v>21</v>
      </c>
      <c r="C23" s="1" t="s">
        <v>22</v>
      </c>
      <c r="D23" s="1" t="s">
        <v>23</v>
      </c>
      <c r="E23" s="1" t="s">
        <v>24</v>
      </c>
      <c r="F23" s="1" t="s">
        <v>15</v>
      </c>
      <c r="G23" s="1">
        <v>6500</v>
      </c>
      <c r="H23" s="1">
        <v>65</v>
      </c>
      <c r="I23" s="1">
        <v>130</v>
      </c>
      <c r="J23" s="1">
        <v>4</v>
      </c>
      <c r="K23" s="1">
        <v>400</v>
      </c>
      <c r="L23" s="1">
        <f t="shared" si="4"/>
        <v>0.01</v>
      </c>
      <c r="M23" s="1">
        <f t="shared" si="0"/>
        <v>2</v>
      </c>
      <c r="N23" s="9">
        <f t="shared" si="5"/>
        <v>32.5</v>
      </c>
      <c r="O23" s="9">
        <f t="shared" si="2"/>
        <v>3.0769230769230771</v>
      </c>
      <c r="P23" s="1" t="str">
        <f t="shared" si="3"/>
        <v>Good</v>
      </c>
    </row>
  </sheetData>
  <mergeCells count="3">
    <mergeCell ref="A1:E1"/>
    <mergeCell ref="A3:F3"/>
    <mergeCell ref="A4:F4"/>
  </mergeCells>
  <conditionalFormatting sqref="O5:O23">
    <cfRule type="colorScale" priority="1">
      <colorScale>
        <cfvo type="min"/>
        <cfvo type="max"/>
        <color rgb="FF63BE7B"/>
        <color rgb="FFFCFCFF"/>
      </colorScale>
    </cfRule>
  </conditionalFormatting>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D6"/>
  <sheetViews>
    <sheetView workbookViewId="0">
      <selection activeCell="D15" sqref="D15"/>
    </sheetView>
  </sheetViews>
  <sheetFormatPr defaultRowHeight="15" x14ac:dyDescent="0.25"/>
  <cols>
    <col min="1" max="1" width="19.42578125" bestFit="1" customWidth="1"/>
    <col min="2" max="2" width="11.42578125" bestFit="1" customWidth="1"/>
    <col min="3" max="3" width="18.7109375" bestFit="1" customWidth="1"/>
    <col min="4" max="4" width="12.42578125" bestFit="1" customWidth="1"/>
    <col min="5" max="18" width="4" bestFit="1" customWidth="1"/>
    <col min="19" max="19" width="11.28515625" bestFit="1" customWidth="1"/>
  </cols>
  <sheetData>
    <row r="3" spans="1:4" x14ac:dyDescent="0.25">
      <c r="A3" s="7" t="s">
        <v>1</v>
      </c>
      <c r="B3" s="1" t="s">
        <v>37</v>
      </c>
      <c r="C3" s="1" t="s">
        <v>38</v>
      </c>
      <c r="D3" s="1" t="s">
        <v>39</v>
      </c>
    </row>
    <row r="4" spans="1:4" x14ac:dyDescent="0.25">
      <c r="A4" s="1" t="s">
        <v>21</v>
      </c>
      <c r="B4" s="8">
        <v>562</v>
      </c>
      <c r="C4" s="8">
        <v>18</v>
      </c>
      <c r="D4" s="9">
        <v>15.78324900905546</v>
      </c>
    </row>
    <row r="5" spans="1:4" x14ac:dyDescent="0.25">
      <c r="A5" s="1" t="s">
        <v>11</v>
      </c>
      <c r="B5" s="8">
        <v>4369</v>
      </c>
      <c r="C5" s="8">
        <v>256</v>
      </c>
      <c r="D5" s="9">
        <v>68.864838795289927</v>
      </c>
    </row>
    <row r="6" spans="1:4" x14ac:dyDescent="0.25">
      <c r="A6" s="1" t="s">
        <v>36</v>
      </c>
      <c r="B6" s="8">
        <v>4931</v>
      </c>
      <c r="C6" s="8">
        <v>274</v>
      </c>
      <c r="D6" s="9">
        <v>84.64808780434538</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D10"/>
  <sheetViews>
    <sheetView workbookViewId="0">
      <selection activeCell="C17" sqref="C17"/>
    </sheetView>
  </sheetViews>
  <sheetFormatPr defaultRowHeight="15" x14ac:dyDescent="0.25"/>
  <cols>
    <col min="1" max="1" width="24.5703125" bestFit="1" customWidth="1"/>
    <col min="2" max="2" width="18.7109375" bestFit="1" customWidth="1"/>
    <col min="3" max="3" width="11.42578125" bestFit="1" customWidth="1"/>
    <col min="4" max="4" width="12.42578125" bestFit="1" customWidth="1"/>
  </cols>
  <sheetData>
    <row r="3" spans="1:4" x14ac:dyDescent="0.25">
      <c r="A3" s="7" t="s">
        <v>3</v>
      </c>
      <c r="B3" s="1" t="s">
        <v>38</v>
      </c>
      <c r="C3" s="1" t="s">
        <v>37</v>
      </c>
      <c r="D3" s="1" t="s">
        <v>39</v>
      </c>
    </row>
    <row r="4" spans="1:4" x14ac:dyDescent="0.25">
      <c r="A4" s="1" t="s">
        <v>16</v>
      </c>
      <c r="B4" s="8">
        <v>32</v>
      </c>
      <c r="C4" s="8">
        <v>600</v>
      </c>
      <c r="D4" s="9">
        <v>10.277777777777779</v>
      </c>
    </row>
    <row r="5" spans="1:4" x14ac:dyDescent="0.25">
      <c r="A5" s="1" t="s">
        <v>26</v>
      </c>
      <c r="B5" s="8">
        <v>46</v>
      </c>
      <c r="C5" s="8">
        <v>729</v>
      </c>
      <c r="D5" s="9">
        <v>12.629300524037365</v>
      </c>
    </row>
    <row r="6" spans="1:4" x14ac:dyDescent="0.25">
      <c r="A6" s="1" t="s">
        <v>23</v>
      </c>
      <c r="B6" s="8">
        <v>18</v>
      </c>
      <c r="C6" s="8">
        <v>562</v>
      </c>
      <c r="D6" s="9">
        <v>15.78324900905546</v>
      </c>
    </row>
    <row r="7" spans="1:4" x14ac:dyDescent="0.25">
      <c r="A7" s="1" t="s">
        <v>18</v>
      </c>
      <c r="B7" s="8">
        <v>44</v>
      </c>
      <c r="C7" s="8">
        <v>772</v>
      </c>
      <c r="D7" s="9">
        <v>13.59018759018759</v>
      </c>
    </row>
    <row r="8" spans="1:4" x14ac:dyDescent="0.25">
      <c r="A8" s="1" t="s">
        <v>25</v>
      </c>
      <c r="B8" s="8">
        <v>30</v>
      </c>
      <c r="C8" s="8">
        <v>528</v>
      </c>
      <c r="D8" s="9">
        <v>9.0005232862375717</v>
      </c>
    </row>
    <row r="9" spans="1:4" x14ac:dyDescent="0.25">
      <c r="A9" s="1" t="s">
        <v>13</v>
      </c>
      <c r="B9" s="8">
        <v>104</v>
      </c>
      <c r="C9" s="8">
        <v>1740</v>
      </c>
      <c r="D9" s="9">
        <v>23.367049617049616</v>
      </c>
    </row>
    <row r="10" spans="1:4" x14ac:dyDescent="0.25">
      <c r="A10" s="1" t="s">
        <v>36</v>
      </c>
      <c r="B10" s="8">
        <v>274</v>
      </c>
      <c r="C10" s="8">
        <v>4931</v>
      </c>
      <c r="D10" s="9">
        <v>84.64808780434538</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marketing_data</vt:lpstr>
      <vt:lpstr>Campaign Performance</vt:lpstr>
      <vt:lpstr>Keyword analysis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Zara Siddiqui</dc:creator>
  <cp:lastModifiedBy>Zara Siddiqui</cp:lastModifiedBy>
  <dcterms:created xsi:type="dcterms:W3CDTF">2025-12-23T19:58:01Z</dcterms:created>
  <dcterms:modified xsi:type="dcterms:W3CDTF">2025-12-23T19:58:01Z</dcterms:modified>
</cp:coreProperties>
</file>